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3c7e61625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覽" sheetId="1" r:id="Raa15914a650b42c5"/>
    <x:sheet xmlns:r="http://schemas.openxmlformats.org/officeDocument/2006/relationships" name="需求總表" sheetId="2" r:id="Rd2cc30c3a18d4d77"/>
    <x:sheet xmlns:r="http://schemas.openxmlformats.org/officeDocument/2006/relationships" name="業務流程" sheetId="3" r:id="Ree77094a489b41f0"/>
    <x:sheet xmlns:r="http://schemas.openxmlformats.org/officeDocument/2006/relationships" name="角色權限" sheetId="4" r:id="R2956e6f84cf94c2a"/>
    <x:sheet xmlns:r="http://schemas.openxmlformats.org/officeDocument/2006/relationships" name="資料模型" sheetId="5" r:id="Rb5f40d08d89944b6"/>
    <x:sheet xmlns:r="http://schemas.openxmlformats.org/officeDocument/2006/relationships" name="開發路線圖" sheetId="6" r:id="Rdacb4317f17c4917"/>
    <x:sheet xmlns:r="http://schemas.openxmlformats.org/officeDocument/2006/relationships" name="待確認事項" sheetId="7" r:id="R94adbab52d34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243B53"/>
      <x:name val="Carlito"/>
    </x:font>
    <x:font>
      <x:b/>
      <x:sz val="10"/>
      <x:color rgb="FFFFFFFF"/>
      <x:name val="Carlito"/>
    </x:font>
    <x:font>
      <x:b/>
      <x:sz val="10"/>
      <x:color rgb="FF243B53"/>
      <x:name val="Carlito"/>
    </x:font>
    <x:font>
      <x:b/>
      <x:sz val="11"/>
      <x:color rgb="FFFFFFFF"/>
      <x:name val="Carlito"/>
    </x:font>
    <x:font>
      <x:b/>
      <x:sz val="22"/>
      <x:color rgb="FF163A5F"/>
      <x:name val="Carlito"/>
    </x:font>
    <x:font>
      <x:b/>
      <x:sz val="10"/>
      <x:color rgb="FF243B53"/>
      <x:name val="Microsoft JhengHei"/>
    </x:font>
    <x:font>
      <x:sz val="10"/>
      <x:color rgb="FF243B53"/>
      <x:name val="Microsoft JhengHei"/>
    </x:font>
    <x:font>
      <x:b/>
      <x:sz val="16"/>
      <x:color rgb="FFFFFFFF"/>
      <x:name val="Microsoft JhengHei"/>
    </x:font>
    <x:font>
      <x:b/>
      <x:sz val="10"/>
      <x:color rgb="FFFFFFFF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</x:fills>
  <x:borders count="1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7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5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4" xfId="0" applyNumberFormat="1" applyFont="1" applyFill="1" applyBorder="1"/>
    <x:xf numFmtId="0" fontId="2" fillId="0" borderId="11" xfId="0" applyNumberFormat="1" applyFont="1" applyFill="1" applyBorder="1"/>
    <x:xf numFmtId="0" fontId="2" fillId="0" borderId="2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0" borderId="7" xfId="0" applyNumberFormat="1" applyFont="1" applyFill="1" applyBorder="1" applyAlignment="1">
      <x:alignment horizontal="center"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54708"/>
      </x:font>
      <x:fill>
        <x:patternFill patternType="solid">
          <x:bgColor rgb="FFFEF0C7"/>
        </x:patternFill>
      </x:fill>
    </x:dxf>
    <x:dxf>
      <x:font>
        <x:b/>
        <x:color rgb="FF6941C6"/>
      </x:font>
      <x:fill>
        <x:patternFill patternType="solid">
          <x:bgColor rgb="FFF4EB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1771cb9e743ce" /><Relationship Type="http://schemas.openxmlformats.org/officeDocument/2006/relationships/theme" Target="/xl/theme/theme1.xml" Id="Rd697f25babbf44a2" /><Relationship Type="http://schemas.openxmlformats.org/officeDocument/2006/relationships/sharedStrings" Target="/xl/sharedStrings.xml" Id="Ra66b67b1b9944f15" /><Relationship Type="http://schemas.openxmlformats.org/officeDocument/2006/relationships/worksheet" Target="/xl/worksheets/sheet1.xml" Id="Raa15914a650b42c5" /><Relationship Type="http://schemas.openxmlformats.org/officeDocument/2006/relationships/worksheet" Target="/xl/worksheets/sheet2.xml" Id="Rd2cc30c3a18d4d77" /><Relationship Type="http://schemas.openxmlformats.org/officeDocument/2006/relationships/worksheet" Target="/xl/worksheets/sheet3.xml" Id="Ree77094a489b41f0" /><Relationship Type="http://schemas.openxmlformats.org/officeDocument/2006/relationships/worksheet" Target="/xl/worksheets/sheet4.xml" Id="R2956e6f84cf94c2a" /><Relationship Type="http://schemas.openxmlformats.org/officeDocument/2006/relationships/worksheet" Target="/xl/worksheets/sheet5.xml" Id="Rb5f40d08d89944b6" /><Relationship Type="http://schemas.openxmlformats.org/officeDocument/2006/relationships/worksheet" Target="/xl/worksheets/sheet6.xml" Id="Rdacb4317f17c4917" /><Relationship Type="http://schemas.openxmlformats.org/officeDocument/2006/relationships/worksheet" Target="/xl/worksheets/sheet7.xml" Id="R94adbab52d3441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90b60800e74d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需求優先級分佈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數量</c:v>
          </c:tx>
          <c:cat>
            <c:strRef>
              <c:f>'概覽'!$F$26:$F$28</c:f>
              <c:strCache>
                <c:ptCount val="0"/>
              </c:strCache>
            </c:strRef>
          </c:cat>
          <c:val>
            <c:numRef>
              <c:f>'概覽'!$G$26:$G$28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90b60800e74d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4:I26" headerRowCount="1" totalsRowCount="0" totalsRowShown="0">
  <x:tableColumns count="9">
    <x:tableColumn id="1" name="編號"/>
    <x:tableColumn id="2" name="模組"/>
    <x:tableColumn id="3" name="需求主題"/>
    <x:tableColumn id="4" name="需求說明"/>
    <x:tableColumn id="5" name="建議業務規則"/>
    <x:tableColumn id="6" name="驗收標準"/>
    <x:tableColumn id="7" name="優先級"/>
    <x:tableColumn id="8" name="現有基礎／差距"/>
    <x:tableColumn id="9" name="建議階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flowTable" displayName="WorkflowTable" ref="A4:D10" headerRowCount="1" totalsRowCount="0" totalsRowShown="0">
  <x:tableColumns count="4">
    <x:tableColumn id="1" name="業務主線"/>
    <x:tableColumn id="2" name="建議狀態"/>
    <x:tableColumn id="3" name="關鍵規則"/>
    <x:tableColumn id="4" name="主要資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rmissionsTable" displayName="PermissionsTable" ref="A4:E12" headerRowCount="1" totalsRowCount="0" totalsRowShown="0">
  <x:tableColumns count="5">
    <x:tableColumn id="1" name="角色"/>
    <x:tableColumn id="2" name="可見模組"/>
    <x:tableColumn id="3" name="可操作功能"/>
    <x:tableColumn id="4" name="資料範圍"/>
    <x:tableColumn id="5" name="控制原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delTable" displayName="DataModelTable" ref="A4:C17" headerRowCount="1" totalsRowCount="0" totalsRowShown="0">
  <x:tableColumns count="3">
    <x:tableColumn id="1" name="資料實體／資料群"/>
    <x:tableColumn id="2" name="主要內容"/>
    <x:tableColumn id="3" name="用途及關聯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admapTable" displayName="RoadmapTable" ref="A4:E9" headerRowCount="1" totalsRowCount="0" totalsRowShown="0">
  <x:tableColumns count="5">
    <x:tableColumn id="1" name="階段"/>
    <x:tableColumn id="2" name="目標"/>
    <x:tableColumn id="3" name="包含功能"/>
    <x:tableColumn id="4" name="階段驗收"/>
    <x:tableColumn id="5" name="風險／重要度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estionsTable" displayName="QuestionsTable" ref="A4:E12" headerRowCount="1" totalsRowCount="0" totalsRowShown="0">
  <x:tableColumns count="5">
    <x:tableColumn id="1" name="編號"/>
    <x:tableColumn id="2" name="確認主題"/>
    <x:tableColumn id="3" name="需確認問題"/>
    <x:tableColumn id="4" name="建議預設"/>
    <x:tableColumn id="5" name="確認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845135b76f46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cb61f443343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cc8e645b894f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657addb704c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3d74e33b944e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6ed0e0e9a949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1fe95acb5945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4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103" t="str">
        <x:v>CCPS 系統需求規劃總覽</x:v>
      </x:c>
      <x:c r="B1" s="103"/>
      <x:c r="C1" s="103"/>
      <x:c r="D1" s="103"/>
      <x:c r="E1" s="103"/>
      <x:c r="F1" s="103"/>
      <x:c r="G1" s="103"/>
      <x:c r="H1" s="103"/>
      <x:c r="I1" s="103"/>
      <x:c r="J1" s="103"/>
    </x:row>
    <x:row r="2" ht="32" customHeight="1">
      <x:c r="A2" s="80" t="str">
        <x:v>本工作簿將原始文檔需求整理為可開發、可驗收的需求矩陣，並補充流程、權限、資料模型、路線圖及待確認事項。更新日期：2026-07-29</x:v>
      </x:c>
      <x:c r="B2" s="80"/>
      <x:c r="C2" s="80"/>
      <x:c r="D2" s="80"/>
      <x:c r="E2" s="80"/>
      <x:c r="F2" s="80"/>
      <x:c r="G2" s="80"/>
      <x:c r="H2" s="80"/>
      <x:c r="I2" s="80"/>
      <x:c r="J2" s="80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  <x:c r="J3" s="81"/>
    </x:row>
    <x:row r="4" ht="28" customHeight="1">
      <x:c r="A4" s="82" t="str">
        <x:v>總需求項目</x:v>
      </x:c>
      <x:c r="B4" s="82"/>
      <x:c r="C4" s="82" t="str">
        <x:v>P0 核心項目</x:v>
      </x:c>
      <x:c r="D4" s="82"/>
      <x:c r="E4" s="82" t="str">
        <x:v>P1 重要項目</x:v>
      </x:c>
      <x:c r="F4" s="82"/>
      <x:c r="G4" s="82" t="str">
        <x:v>P2 後續項目</x:v>
      </x:c>
      <x:c r="H4" s="82"/>
      <x:c r="I4" s="81"/>
      <x:c r="J4" s="81"/>
    </x:row>
    <x:row r="5" ht="26" customHeight="1">
      <x:c r="A5" s="83" t="n">
        <x:f>COUNTA('需求總表'!$A$5:$A$26)</x:f>
        <x:v>22</x:v>
      </x:c>
      <x:c r="B5" s="84"/>
      <x:c r="C5" s="84" t="n">
        <x:f>COUNTIF('需求總表'!$G$5:$G$26,"P0")</x:f>
        <x:v>14</x:v>
      </x:c>
      <x:c r="D5" s="84"/>
      <x:c r="E5" s="84" t="n">
        <x:f>COUNTIF('需求總表'!$G$5:$G$26,"P1")</x:f>
        <x:v>8</x:v>
      </x:c>
      <x:c r="F5" s="84"/>
      <x:c r="G5" s="84" t="n">
        <x:f>COUNTIF('需求總表'!$G$5:$G$26,"P2")</x:f>
        <x:v>0</x:v>
      </x:c>
      <x:c r="H5" s="85"/>
      <x:c r="I5" s="81"/>
      <x:c r="J5" s="81"/>
    </x:row>
    <x:row r="6" ht="26" customHeight="1">
      <x:c r="A6" s="86"/>
      <x:c r="B6" s="87"/>
      <x:c r="C6" s="87"/>
      <x:c r="D6" s="87"/>
      <x:c r="E6" s="87"/>
      <x:c r="F6" s="87"/>
      <x:c r="G6" s="87"/>
      <x:c r="H6" s="88"/>
      <x:c r="I6" s="81"/>
      <x:c r="J6" s="81"/>
    </x:row>
    <x:row r="7">
      <x:c r="A7" s="81"/>
      <x:c r="B7" s="81"/>
      <x:c r="C7" s="81"/>
      <x:c r="D7" s="81"/>
      <x:c r="E7" s="81"/>
      <x:c r="F7" s="81"/>
      <x:c r="G7" s="81"/>
      <x:c r="H7" s="81"/>
      <x:c r="I7" s="81"/>
      <x:c r="J7" s="81"/>
    </x:row>
    <x:row r="8">
      <x:c r="A8" s="104" t="str">
        <x:v>系統核心主線</x:v>
      </x:c>
      <x:c r="B8" s="104"/>
      <x:c r="C8" s="104"/>
      <x:c r="D8" s="104"/>
      <x:c r="E8" s="81"/>
      <x:c r="F8" s="81"/>
      <x:c r="G8" s="81"/>
      <x:c r="H8" s="81"/>
      <x:c r="I8" s="81"/>
      <x:c r="J8" s="81"/>
    </x:row>
    <x:row r="9">
      <x:c r="A9" s="90" t="str">
        <x:v>1</x:v>
      </x:c>
      <x:c r="B9" s="91" t="str">
        <x:v>租約主線</x:v>
      </x:c>
      <x:c r="C9" s="91" t="str">
        <x:v>租客、租約、續約、入住及退租</x:v>
      </x:c>
      <x:c r="D9" s="92" t="str">
        <x:v>確保業務狀態清楚且可追溯</x:v>
      </x:c>
      <x:c r="E9" s="81"/>
      <x:c r="F9" s="81"/>
      <x:c r="G9" s="81"/>
      <x:c r="H9" s="81"/>
      <x:c r="I9" s="81"/>
      <x:c r="J9" s="81"/>
    </x:row>
    <x:row r="10">
      <x:c r="A10" s="93" t="str">
        <x:v>2</x:v>
      </x:c>
      <x:c r="B10" s="94" t="str">
        <x:v>金錢主線</x:v>
      </x:c>
      <x:c r="C10" s="94" t="str">
        <x:v>賬單、付款、財務確認、發票／收據</x:v>
      </x:c>
      <x:c r="D10" s="95" t="str">
        <x:v>確保金額來源、狀態及憑證一致</x:v>
      </x:c>
      <x:c r="E10" s="81"/>
      <x:c r="F10" s="81"/>
      <x:c r="G10" s="81"/>
      <x:c r="H10" s="81"/>
      <x:c r="I10" s="81"/>
      <x:c r="J10" s="81"/>
    </x:row>
    <x:row r="11">
      <x:c r="A11" s="93" t="str">
        <x:v>3</x:v>
      </x:c>
      <x:c r="B11" s="94" t="str">
        <x:v>保障主線</x:v>
      </x:c>
      <x:c r="C11" s="94" t="str">
        <x:v>押金、預備金、維修及返還／扣款</x:v>
      </x:c>
      <x:c r="D11" s="95" t="str">
        <x:v>確保資金不足仍可營運且有風險提示</x:v>
      </x:c>
      <x:c r="E11" s="81"/>
      <x:c r="F11" s="81"/>
      <x:c r="G11" s="81"/>
      <x:c r="H11" s="81"/>
      <x:c r="I11" s="81"/>
      <x:c r="J11" s="81"/>
    </x:row>
    <x:row r="12">
      <x:c r="A12" s="93" t="str">
        <x:v>4</x:v>
      </x:c>
      <x:c r="B12" s="94" t="str">
        <x:v>管理主線</x:v>
      </x:c>
      <x:c r="C12" s="94" t="str">
        <x:v>權限、提醒、報表、大屏及備份</x:v>
      </x:c>
      <x:c r="D12" s="95" t="str">
        <x:v>確保資料安全、分工及管理可視化</x:v>
      </x:c>
      <x:c r="E12" s="81"/>
      <x:c r="F12" s="81"/>
      <x:c r="G12" s="81"/>
      <x:c r="H12" s="81"/>
      <x:c r="I12" s="81"/>
      <x:c r="J12" s="81"/>
    </x:row>
    <x:row r="13">
      <x:c r="A13" s="93" t="str">
        <x:v>5</x:v>
      </x:c>
      <x:c r="B13" s="94" t="str">
        <x:v>稽核主線</x:v>
      </x:c>
      <x:c r="C13" s="94" t="str">
        <x:v>版本、調整、沖銷、操作記錄</x:v>
      </x:c>
      <x:c r="D13" s="95" t="str">
        <x:v>確保任何更正都不破壞原始資料</x:v>
      </x:c>
      <x:c r="E13" s="81"/>
      <x:c r="F13" s="81"/>
      <x:c r="G13" s="81"/>
      <x:c r="H13" s="81"/>
      <x:c r="I13" s="81"/>
      <x:c r="J13" s="81"/>
    </x:row>
    <x:row r="14">
      <x:c r="A14" s="96" t="str">
        <x:v>6</x:v>
      </x:c>
      <x:c r="B14" s="97" t="str">
        <x:v>對帳主線</x:v>
      </x:c>
      <x:c r="C14" s="97" t="str">
        <x:v>業務資料、財務確認及月度人工核對</x:v>
      </x:c>
      <x:c r="D14" s="98" t="str">
        <x:v>確保系統與財務部可確認差異</x:v>
      </x:c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04" t="str">
        <x:v>建議落地順序</x:v>
      </x:c>
      <x:c r="B17" s="104"/>
      <x:c r="C17" s="104"/>
      <x:c r="D17" s="104"/>
      <x:c r="E17" s="81"/>
      <x:c r="F17" s="81"/>
      <x:c r="G17" s="81"/>
      <x:c r="H17" s="81"/>
      <x:c r="I17" s="81"/>
      <x:c r="J17" s="81"/>
    </x:row>
    <x:row r="18" ht="38" customHeight="1">
      <x:c r="A18" s="90" t="str">
        <x:v>第一階段</x:v>
      </x:c>
      <x:c r="B18" s="91" t="str">
        <x:v>先完成 P0 核心閉環</x:v>
      </x:c>
      <x:c r="C18" s="91" t="str">
        <x:v>賬單→收款→財務確認→催收→權限→備份</x:v>
      </x:c>
      <x:c r="D18" s="92" t="str">
        <x:v>可正式支援日常營運</x:v>
      </x:c>
      <x:c r="E18" s="81"/>
      <x:c r="F18" s="81"/>
      <x:c r="G18" s="81"/>
      <x:c r="H18" s="81"/>
      <x:c r="I18" s="81"/>
      <x:c r="J18" s="81"/>
    </x:row>
    <x:row r="19" ht="38" customHeight="1">
      <x:c r="A19" s="93" t="str">
        <x:v>第二階段</x:v>
      </x:c>
      <x:c r="B19" s="94" t="str">
        <x:v>完成押金及費用規則</x:v>
      </x:c>
      <x:c r="C19" s="94" t="str">
        <x:v>管理費檔位→預備金→維修支出→負數風險</x:v>
      </x:c>
      <x:c r="D19" s="95" t="str">
        <x:v>金額計算可自動化</x:v>
      </x:c>
      <x:c r="E19" s="81"/>
      <x:c r="F19" s="81"/>
      <x:c r="G19" s="81"/>
      <x:c r="H19" s="81"/>
      <x:c r="I19" s="81"/>
      <x:c r="J19" s="81"/>
    </x:row>
    <x:row r="20" ht="38" customHeight="1">
      <x:c r="A20" s="93" t="str">
        <x:v>第三階段</x:v>
      </x:c>
      <x:c r="B20" s="94" t="str">
        <x:v>完成憑證與退租結算</x:v>
      </x:c>
      <x:c r="C20" s="94" t="str">
        <x:v>發票／收據→押金返還／沒收→預備金返還</x:v>
      </x:c>
      <x:c r="D20" s="95" t="str">
        <x:v>可支援完整結算</x:v>
      </x:c>
      <x:c r="E20" s="81"/>
      <x:c r="F20" s="81"/>
      <x:c r="G20" s="81"/>
      <x:c r="H20" s="81"/>
      <x:c r="I20" s="81"/>
      <x:c r="J20" s="81"/>
    </x:row>
    <x:row r="21" ht="38" customHeight="1">
      <x:c r="A21" s="93" t="str">
        <x:v>第四階段</x:v>
      </x:c>
      <x:c r="B21" s="94" t="str">
        <x:v>建立智慧管理視圖</x:v>
      </x:c>
      <x:c r="C21" s="94" t="str">
        <x:v>大屏→欠租風險→年度稅費提醒</x:v>
      </x:c>
      <x:c r="D21" s="95" t="str">
        <x:v>管理決策更即時</x:v>
      </x:c>
      <x:c r="E21" s="81"/>
      <x:c r="F21" s="81"/>
      <x:c r="G21" s="81"/>
      <x:c r="H21" s="81"/>
      <x:c r="I21" s="81"/>
      <x:c r="J21" s="81"/>
    </x:row>
    <x:row r="22" ht="38" customHeight="1">
      <x:c r="A22" s="96" t="str">
        <x:v>第五階段</x:v>
      </x:c>
      <x:c r="B22" s="97" t="str">
        <x:v>持續優化與演練</x:v>
      </x:c>
      <x:c r="C22" s="97" t="str">
        <x:v>報表派送、渠道擴展、備份恢復演練</x:v>
      </x:c>
      <x:c r="D22" s="98" t="str">
        <x:v>提升穩定性及自動化程度</x:v>
      </x:c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</x:row>
    <x:row r="25" ht="22" customHeight="1">
      <x:c r="A25" s="81"/>
      <x:c r="B25" s="81"/>
      <x:c r="C25" s="81"/>
      <x:c r="D25" s="81"/>
      <x:c r="E25" s="81"/>
      <x:c r="F25" s="104" t="str">
        <x:v>優先級</x:v>
      </x:c>
      <x:c r="G25" s="104" t="str">
        <x:v>數量</x:v>
      </x:c>
      <x:c r="H25" s="81"/>
      <x:c r="I25" s="81"/>
      <x:c r="J25" s="81"/>
    </x:row>
    <x:row r="26" ht="22" customHeight="1">
      <x:c r="A26" s="81"/>
      <x:c r="B26" s="81"/>
      <x:c r="C26" s="81"/>
      <x:c r="D26" s="81"/>
      <x:c r="E26" s="81"/>
      <x:c r="F26" s="99" t="str">
        <x:v>P0</x:v>
      </x:c>
      <x:c r="G26" s="95" t="n">
        <x:f>COUNTIF('需求總表'!$G$5:$G$26,F26)</x:f>
        <x:v>14</x:v>
      </x:c>
      <x:c r="H26" s="81"/>
      <x:c r="I26" s="81"/>
      <x:c r="J26" s="81"/>
    </x:row>
    <x:row r="27" ht="22" customHeight="1">
      <x:c r="A27" s="81"/>
      <x:c r="B27" s="81"/>
      <x:c r="C27" s="81"/>
      <x:c r="D27" s="81"/>
      <x:c r="E27" s="81"/>
      <x:c r="F27" s="99" t="str">
        <x:v>P1</x:v>
      </x:c>
      <x:c r="G27" s="95" t="n">
        <x:f>COUNTIF('需求總表'!$G$5:$G$26,F27)</x:f>
        <x:v>8</x:v>
      </x:c>
      <x:c r="H27" s="81"/>
      <x:c r="I27" s="81"/>
      <x:c r="J27" s="81"/>
    </x:row>
    <x:row r="28" ht="22" customHeight="1">
      <x:c r="A28" s="81"/>
      <x:c r="B28" s="81"/>
      <x:c r="C28" s="81"/>
      <x:c r="D28" s="81"/>
      <x:c r="E28" s="81"/>
      <x:c r="F28" s="100" t="str">
        <x:v>P2</x:v>
      </x:c>
      <x:c r="G28" s="98" t="n">
        <x:f>COUNTIF('需求總表'!$G$5:$G$26,F28)</x:f>
        <x:v>0</x:v>
      </x:c>
      <x:c r="H28" s="81"/>
      <x:c r="I28" s="81"/>
      <x:c r="J28" s="81"/>
    </x:row>
  </x:sheetData>
  <x:mergeCells>
    <x:mergeCell ref="A1:J1"/>
    <x:mergeCell ref="A2:J2"/>
    <x:mergeCell ref="A4:B4"/>
    <x:mergeCell ref="C4:D4"/>
    <x:mergeCell ref="E4:F4"/>
    <x:mergeCell ref="G4:H4"/>
    <x:mergeCell ref="A5:B6"/>
    <x:mergeCell ref="C5:D6"/>
    <x:mergeCell ref="E5:F6"/>
    <x:mergeCell ref="G5:H6"/>
    <x:mergeCell ref="A8:D8"/>
    <x:mergeCell ref="A17:D17"/>
  </x:mergeCells>
  <x:pageMargins left="0.7" right="0.7" top="0.75" bottom="0.75" header="0.3" footer="0.3"/>
  <x:drawing xmlns:r="http://schemas.openxmlformats.org/officeDocument/2006/relationships" r:id="R47845135b76f46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8" hidden="0" customWidth="1"/>
    <x:col min="4" max="4" width="28" hidden="0" customWidth="1"/>
    <x:col min="5" max="5" width="38" hidden="0" customWidth="1"/>
    <x:col min="6" max="6" width="32" hidden="0" customWidth="1"/>
    <x:col min="7" max="7" width="10" hidden="0" customWidth="1"/>
    <x:col min="8" max="8" width="28" hidden="0" customWidth="1"/>
    <x:col min="9" max="9" width="13" hidden="0" customWidth="1"/>
  </x:cols>
  <x:sheetData>
    <x:row r="1" ht="30" customHeight="1">
      <x:c r="A1" s="103" t="str">
        <x:v>CCPS 系統需求總表</x:v>
      </x:c>
      <x:c r="B1" s="103"/>
      <x:c r="C1" s="103"/>
      <x:c r="D1" s="103"/>
      <x:c r="E1" s="103"/>
      <x:c r="F1" s="103"/>
      <x:c r="G1" s="103"/>
      <x:c r="H1" s="103"/>
      <x:c r="I1" s="103"/>
    </x:row>
    <x:row r="2" ht="32" customHeight="1">
      <x:c r="A2" s="80" t="str">
        <x:v>來源：CCPS System(1).docx；已將原始需求轉換為可開發、可驗收的功能項目。優先級：P0＝核心閉環，P1＝重要擴充，P2＝後續優化。更新日期：2026-07-29</x:v>
      </x:c>
      <x:c r="B2" s="80"/>
      <x:c r="C2" s="80"/>
      <x:c r="D2" s="80"/>
      <x:c r="E2" s="80"/>
      <x:c r="F2" s="80"/>
      <x:c r="G2" s="80"/>
      <x:c r="H2" s="80"/>
      <x:c r="I2" s="80"/>
    </x:row>
    <x:row r="3">
      <x:c r="A3" s="81"/>
      <x:c r="B3" s="81"/>
      <x:c r="C3" s="81"/>
      <x:c r="D3" s="81"/>
      <x:c r="E3" s="81"/>
      <x:c r="F3" s="81"/>
      <x:c r="G3" s="81"/>
      <x:c r="H3" s="81"/>
      <x:c r="I3" s="81"/>
    </x:row>
    <x:row r="4">
      <x:c r="A4" s="104" t="str">
        <x:v>編號</x:v>
      </x:c>
      <x:c r="B4" s="104" t="str">
        <x:v>模組</x:v>
      </x:c>
      <x:c r="C4" s="104" t="str">
        <x:v>需求主題</x:v>
      </x:c>
      <x:c r="D4" s="104" t="str">
        <x:v>需求說明</x:v>
      </x:c>
      <x:c r="E4" s="104" t="str">
        <x:v>建議業務規則</x:v>
      </x:c>
      <x:c r="F4" s="104" t="str">
        <x:v>驗收標準</x:v>
      </x:c>
      <x:c r="G4" s="104" t="str">
        <x:v>優先級</x:v>
      </x:c>
      <x:c r="H4" s="104" t="str">
        <x:v>現有基礎／差距</x:v>
      </x:c>
      <x:c r="I4" s="104" t="str">
        <x:v>建議階段</x:v>
      </x:c>
    </x:row>
    <x:row r="5" ht="58" customHeight="1">
      <x:c r="A5" s="102" t="str">
        <x:v>R01</x:v>
      </x:c>
      <x:c r="B5" s="94" t="str">
        <x:v>租房步驟管理</x:v>
      </x:c>
      <x:c r="C5" s="94" t="str">
        <x:v>租房全流程</x:v>
      </x:c>
      <x:c r="D5" s="94" t="str">
        <x:v>管理由招租、簽約、入住、續租至退租的狀態與待辦。</x:v>
      </x:c>
      <x:c r="E5" s="94" t="str">
        <x:v>待出租→預約→待簽約→已簽約→待入住→入住中→續租→退租結算→完成；流程狀態與租約狀態分開。</x:v>
      </x:c>
      <x:c r="F5" s="94" t="str">
        <x:v>每一步可指定負責人、截止日、附件及完成條件，並保留歷史。</x:v>
      </x:c>
      <x:c r="G5" s="102" t="str">
        <x:v>P0</x:v>
      </x:c>
      <x:c r="H5" s="94" t="str">
        <x:v>已有租客／租約基礎；需補流程化管理。</x:v>
      </x:c>
      <x:c r="I5" s="102" t="str">
        <x:v>第一階段</x:v>
      </x:c>
    </x:row>
    <x:row r="6" ht="58" customHeight="1">
      <x:c r="A6" s="102" t="str">
        <x:v>R02</x:v>
      </x:c>
      <x:c r="B6" s="94" t="str">
        <x:v>租客及租約</x:v>
      </x:c>
      <x:c r="C6" s="94" t="str">
        <x:v>租客、同租客、續約</x:v>
      </x:c>
      <x:c r="D6" s="94" t="str">
        <x:v>租客姓名、租約資料、同租客及續約管理。</x:v>
      </x:c>
      <x:c r="E6" s="94" t="str">
        <x:v>正式生效後不可直接刪除；修改使用版本或更正記錄；續約不可複製重複月份。</x:v>
      </x:c>
      <x:c r="F6" s="94" t="str">
        <x:v>可建立同租客、續約及租客帳戶報表；原租約資料可追溯。</x:v>
      </x:c>
      <x:c r="G6" s="102" t="str">
        <x:v>P0</x:v>
      </x:c>
      <x:c r="H6" s="94" t="str">
        <x:v>已有租客／租約；需補同租客、鎖定及版本規則。</x:v>
      </x:c>
      <x:c r="I6" s="102" t="str">
        <x:v>第一階段</x:v>
      </x:c>
    </x:row>
    <x:row r="7" ht="58" customHeight="1">
      <x:c r="A7" s="102" t="str">
        <x:v>R03</x:v>
      </x:c>
      <x:c r="B7" s="94" t="str">
        <x:v>賬單管理</x:v>
      </x:c>
      <x:c r="C7" s="94" t="str">
        <x:v>租金及其他費用賬單</x:v>
      </x:c>
      <x:c r="D7" s="94" t="str">
        <x:v>自動生成租金、水電、管理費及其他應收賬單。</x:v>
      </x:c>
      <x:c r="E7" s="94" t="str">
        <x:v>按租約週期及費用規則生成；以租約＋月份＋費用項目防止重複。</x:v>
      </x:c>
      <x:c r="F7" s="94" t="str">
        <x:v>可查詢未出單、待付款、部分付款、已付款及逾期賬單。</x:v>
      </x:c>
      <x:c r="G7" s="102" t="str">
        <x:v>P0</x:v>
      </x:c>
      <x:c r="H7" s="94" t="str">
        <x:v>已有租金管理；需提升為正式賬單主線。</x:v>
      </x:c>
      <x:c r="I7" s="102" t="str">
        <x:v>第一階段</x:v>
      </x:c>
    </x:row>
    <x:row r="8" ht="58" customHeight="1">
      <x:c r="A8" s="102" t="str">
        <x:v>R04</x:v>
      </x:c>
      <x:c r="B8" s="94" t="str">
        <x:v>預付租金</x:v>
      </x:c>
      <x:c r="C8" s="94" t="str">
        <x:v>多月預付</x:v>
      </x:c>
      <x:c r="D8" s="94" t="str">
        <x:v>支援預付兩個月或一年租金。</x:v>
      </x:c>
      <x:c r="E8" s="94" t="str">
        <x:v>按月份分攤到賬單；已存在的月份不得再次生成或重複入帳。</x:v>
      </x:c>
      <x:c r="F8" s="94" t="str">
        <x:v>預付後每個月份有唯一賬單及付款分配記錄。</x:v>
      </x:c>
      <x:c r="G8" s="102" t="str">
        <x:v>P0</x:v>
      </x:c>
      <x:c r="H8" s="94" t="str">
        <x:v>需求已提出；需補月份分配。</x:v>
      </x:c>
      <x:c r="I8" s="102" t="str">
        <x:v>第一階段</x:v>
      </x:c>
    </x:row>
    <x:row r="9" ht="58" customHeight="1">
      <x:c r="A9" s="102" t="str">
        <x:v>R05</x:v>
      </x:c>
      <x:c r="B9" s="94" t="str">
        <x:v>自動催收</x:v>
      </x:c>
      <x:c r="C9" s="94" t="str">
        <x:v>催收消息</x:v>
      </x:c>
      <x:c r="D9" s="94" t="str">
        <x:v>自動發送付款前提醒及逾期催收消息。</x:v>
      </x:c>
      <x:c r="E9" s="94" t="str">
        <x:v>到期前、逾期第1／3／7天可配置規則；消息需去重、可重試、可查發送結果。</x:v>
      </x:c>
      <x:c r="F9" s="94" t="str">
        <x:v>同一賬單同一規則不重複發送；失敗可重試並保留記錄。</x:v>
      </x:c>
      <x:c r="G9" s="102" t="str">
        <x:v>P0</x:v>
      </x:c>
      <x:c r="H9" s="94" t="str">
        <x:v>已有自動提醒基礎；需補催收及逾期升級。</x:v>
      </x:c>
      <x:c r="I9" s="102" t="str">
        <x:v>第一階段</x:v>
      </x:c>
    </x:row>
    <x:row r="10" ht="58" customHeight="1">
      <x:c r="A10" s="102" t="str">
        <x:v>R06</x:v>
      </x:c>
      <x:c r="B10" s="94" t="str">
        <x:v>欠租管理</x:v>
      </x:c>
      <x:c r="C10" s="94" t="str">
        <x:v>管理通知</x:v>
      </x:c>
      <x:c r="D10" s="94" t="str">
        <x:v>未交租時通知管理員及相關負責人。</x:v>
      </x:c>
      <x:c r="E10" s="94" t="str">
        <x:v>逾期自動建立案件，顯示欠款金額、逾期天數、處理人及跟進記錄。</x:v>
      </x:c>
      <x:c r="F10" s="94" t="str">
        <x:v>管理員能按地區、建案、負責人查看未結欠租案件。</x:v>
      </x:c>
      <x:c r="G10" s="102" t="str">
        <x:v>P0</x:v>
      </x:c>
      <x:c r="H10" s="94" t="str">
        <x:v>已有租金記錄；需補案件化處理。</x:v>
      </x:c>
      <x:c r="I10" s="102" t="str">
        <x:v>第一階段</x:v>
      </x:c>
    </x:row>
    <x:row r="11" ht="58" customHeight="1">
      <x:c r="A11" s="102" t="str">
        <x:v>R07</x:v>
      </x:c>
      <x:c r="B11" s="94" t="str">
        <x:v>租金收款</x:v>
      </x:c>
      <x:c r="C11" s="94" t="str">
        <x:v>租客付款／押金扣款</x:v>
      </x:c>
      <x:c r="D11" s="94" t="str">
        <x:v>租金收入可由租客付款或從押金扣除。</x:v>
      </x:c>
      <x:c r="E11" s="94" t="str">
        <x:v>兩種方式都要生成付款及財務記錄；押金扣款需連接押金流水。</x:v>
      </x:c>
      <x:c r="F11" s="94" t="str">
        <x:v>收款方式可查詢，賬單狀態、押金餘額及財務記錄同步更新。</x:v>
      </x:c>
      <x:c r="G11" s="102" t="str">
        <x:v>P0</x:v>
      </x:c>
      <x:c r="H11" s="94" t="str">
        <x:v>已有租金確認；押金連接不足。</x:v>
      </x:c>
      <x:c r="I11" s="102" t="str">
        <x:v>第一階段</x:v>
      </x:c>
    </x:row>
    <x:row r="12" ht="58" customHeight="1">
      <x:c r="A12" s="102" t="str">
        <x:v>R08</x:v>
      </x:c>
      <x:c r="B12" s="94" t="str">
        <x:v>押金管理</x:v>
      </x:c>
      <x:c r="C12" s="94" t="str">
        <x:v>押金收取、代付、歸還、沒收</x:v>
      </x:c>
      <x:c r="D12" s="94" t="str">
        <x:v>增加租客押金列表及押金明細。</x:v>
      </x:c>
      <x:c r="E12" s="94" t="str">
        <x:v>押金代付及租客還款記錄在押金流水；退租時計算返還或沒收；原始記錄不可刪。</x:v>
      </x:c>
      <x:c r="F12" s="94" t="str">
        <x:v>退租結算能顯示押金收入、代付、扣款、返還／沒收及餘額。</x:v>
      </x:c>
      <x:c r="G12" s="102" t="str">
        <x:v>P0</x:v>
      </x:c>
      <x:c r="H12" s="94" t="str">
        <x:v>已有部分押金資料；需連接財務及退租結算。</x:v>
      </x:c>
      <x:c r="I12" s="102" t="str">
        <x:v>第二階段</x:v>
      </x:c>
    </x:row>
    <x:row r="13" ht="58" customHeight="1">
      <x:c r="A13" s="102" t="str">
        <x:v>R09</x:v>
      </x:c>
      <x:c r="B13" s="94" t="str">
        <x:v>收支及維修</x:v>
      </x:c>
      <x:c r="C13" s="94" t="str">
        <x:v>費用、維修、代付</x:v>
      </x:c>
      <x:c r="D13" s="94" t="str">
        <x:v>新增支出、維修及代付費用，餘額不足時仍可登記。</x:v>
      </x:c>
      <x:c r="E13" s="94" t="str">
        <x:v>新增後不可直接刪除；錯誤使用調整／沖銷；費用必須有業主、房產、科目及憑證關聯。</x:v>
      </x:c>
      <x:c r="F13" s="94" t="str">
        <x:v>支出可完整導出，且能連接財務確認及預備金。</x:v>
      </x:c>
      <x:c r="G13" s="102" t="str">
        <x:v>P0</x:v>
      </x:c>
      <x:c r="H13" s="94" t="str">
        <x:v>已有收支及維修；需補更正及財務連接。</x:v>
      </x:c>
      <x:c r="I13" s="102" t="str">
        <x:v>第一階段</x:v>
      </x:c>
    </x:row>
    <x:row r="14" ht="58" customHeight="1">
      <x:c r="A14" s="102" t="str">
        <x:v>R10</x:v>
      </x:c>
      <x:c r="B14" s="94" t="str">
        <x:v>財務確認</x:v>
      </x:c>
      <x:c r="C14" s="94" t="str">
        <x:v>單筆及批量確認</x:v>
      </x:c>
      <x:c r="D14" s="94" t="str">
        <x:v>確認收款、付款及充值，錯誤可退回修正。</x:v>
      </x:c>
      <x:c r="E14" s="94" t="str">
        <x:v>待確認→已確認／退回；批量確認可填批次編號；確認人、時間及原因必填。</x:v>
      </x:c>
      <x:c r="F14" s="94" t="str">
        <x:v>已確認記錄可更正但不刪除原始記錄；狀態回退有稽核記錄。</x:v>
      </x:c>
      <x:c r="G14" s="102" t="str">
        <x:v>P0</x:v>
      </x:c>
      <x:c r="H14" s="94" t="str">
        <x:v>已有財務確認；需補批量、修正及稽核。</x:v>
      </x:c>
      <x:c r="I14" s="102" t="str">
        <x:v>第一階段</x:v>
      </x:c>
    </x:row>
    <x:row r="15" ht="58" customHeight="1">
      <x:c r="A15" s="102" t="str">
        <x:v>R11</x:v>
      </x:c>
      <x:c r="B15" s="94" t="str">
        <x:v>發票及收據</x:v>
      </x:c>
      <x:c r="C15" s="94" t="str">
        <x:v>自動生成憑證</x:v>
      </x:c>
      <x:c r="D15" s="94" t="str">
        <x:v>收款確認後生成發票或收據。</x:v>
      </x:c>
      <x:c r="E15" s="94" t="str">
        <x:v>按費用類型及稅務規則生成編號；錯誤採作廢重開，不覆蓋原憑證。</x:v>
      </x:c>
      <x:c r="F15" s="94" t="str">
        <x:v>可預覽、下載、重印及查詢發票／收據來源賬單。</x:v>
      </x:c>
      <x:c r="G15" s="102" t="str">
        <x:v>P1</x:v>
      </x:c>
      <x:c r="H15" s="94" t="str">
        <x:v>現有基線未完整覆蓋；需新增。</x:v>
      </x:c>
      <x:c r="I15" s="102" t="str">
        <x:v>第三階段</x:v>
      </x:c>
    </x:row>
    <x:row r="16" ht="58" customHeight="1">
      <x:c r="A16" s="102" t="str">
        <x:v>R12</x:v>
      </x:c>
      <x:c r="B16" s="94" t="str">
        <x:v>管理費規則</x:v>
      </x:c>
      <x:c r="C16" s="94" t="str">
        <x:v>階梯／檔位收費</x:v>
      </x:c>
      <x:c r="D16" s="94" t="str">
        <x:v>管理費按租金、房產數量或服務級別分檔計算。</x:v>
      </x:c>
      <x:c r="E16" s="94" t="str">
        <x:v>設定檔位門檻、固定金額／比例、生效日、上限下限、例外及四捨五入規則。</x:v>
      </x:c>
      <x:c r="F16" s="94" t="str">
        <x:v>同一賬單能展示計算基礎、使用檔位及計算結果。</x:v>
      </x:c>
      <x:c r="G16" s="102" t="str">
        <x:v>P1</x:v>
      </x:c>
      <x:c r="H16" s="94" t="str">
        <x:v>管理費已有概念；需規則化及版本化。</x:v>
      </x:c>
      <x:c r="I16" s="102" t="str">
        <x:v>第二階段</x:v>
      </x:c>
    </x:row>
    <x:row r="17" ht="58" customHeight="1">
      <x:c r="A17" s="102" t="str">
        <x:v>R13</x:v>
      </x:c>
      <x:c r="B17" s="94" t="str">
        <x:v>預備金</x:v>
      </x:c>
      <x:c r="C17" s="94" t="str">
        <x:v>按費用生成預備金</x:v>
      </x:c>
      <x:c r="D17" s="94" t="str">
        <x:v>根據管理費、維修費或其他費用生成預備金。</x:v>
      </x:c>
      <x:c r="E17" s="94" t="str">
        <x:v>支援固定金額或比例；按業主／房產建立預備金帳戶及流水；同月份同規則不可重複。</x:v>
      </x:c>
      <x:c r="F17" s="94" t="str">
        <x:v>每筆預備金都能追溯來源費用、規則版本及確認狀態。</x:v>
      </x:c>
      <x:c r="G17" s="102" t="str">
        <x:v>P0</x:v>
      </x:c>
      <x:c r="H17" s="94" t="str">
        <x:v>已有預備金；需連接管理費、維修及費用規則。</x:v>
      </x:c>
      <x:c r="I17" s="102" t="str">
        <x:v>第二階段</x:v>
      </x:c>
    </x:row>
    <x:row r="18" ht="58" customHeight="1">
      <x:c r="A18" s="102" t="str">
        <x:v>R14</x:v>
      </x:c>
      <x:c r="B18" s="94" t="str">
        <x:v>預備金負數</x:v>
      </x:c>
      <x:c r="C18" s="94" t="str">
        <x:v>不足額及負數</x:v>
      </x:c>
      <x:c r="D18" s="94" t="str">
        <x:v>預備金不足時仍允許新增維修或支出。</x:v>
      </x:c>
      <x:c r="E18" s="94" t="str">
        <x:v>允許負數入帳，但觸發預警及審批；不得因餘額不足阻塞必要維修。</x:v>
      </x:c>
      <x:c r="F18" s="94" t="str">
        <x:v>負數預備金在大屏、報表及待辦中可見。</x:v>
      </x:c>
      <x:c r="G18" s="102" t="str">
        <x:v>P1</x:v>
      </x:c>
      <x:c r="H18" s="94" t="str">
        <x:v>需求已提出；需補風險控制。</x:v>
      </x:c>
      <x:c r="I18" s="102" t="str">
        <x:v>第二階段</x:v>
      </x:c>
    </x:row>
    <x:row r="19" ht="58" customHeight="1">
      <x:c r="A19" s="102" t="str">
        <x:v>R15</x:v>
      </x:c>
      <x:c r="B19" s="94" t="str">
        <x:v>預備金返還</x:v>
      </x:c>
      <x:c r="C19" s="94" t="str">
        <x:v>批量返還及報告</x:v>
      </x:c>
      <x:c r="D19" s="94" t="str">
        <x:v>預備金返還可批量執行並導出付款報告。</x:v>
      </x:c>
      <x:c r="E19" s="94" t="str">
        <x:v>返還清單先進入待確認，再批量確認；可修改但保留版本。</x:v>
      </x:c>
      <x:c r="F19" s="94" t="str">
        <x:v>可產出給財務出款的返還報告，並保存付款狀態。</x:v>
      </x:c>
      <x:c r="G19" s="102" t="str">
        <x:v>P1</x:v>
      </x:c>
      <x:c r="H19" s="94" t="str">
        <x:v>已有預備金；需補批量返還及對帳。</x:v>
      </x:c>
      <x:c r="I19" s="102" t="str">
        <x:v>第三階段</x:v>
      </x:c>
    </x:row>
    <x:row r="20" ht="58" customHeight="1">
      <x:c r="A20" s="102" t="str">
        <x:v>R16</x:v>
      </x:c>
      <x:c r="B20" s="94" t="str">
        <x:v>管理費財務連接</x:v>
      </x:c>
      <x:c r="C20" s="94" t="str">
        <x:v>收支及財務確認連接</x:v>
      </x:c>
      <x:c r="D20" s="94" t="str">
        <x:v>管理服務費需連接收支與財務確認。</x:v>
      </x:c>
      <x:c r="E20" s="94" t="str">
        <x:v>管理費賬單、收款、確認、發票及報表共用同一筆財務主記錄。</x:v>
      </x:c>
      <x:c r="F20" s="94" t="str">
        <x:v>管理費不再只停留在業務頁面，能在收支及財務確認查詢。</x:v>
      </x:c>
      <x:c r="G20" s="102" t="str">
        <x:v>P0</x:v>
      </x:c>
      <x:c r="H20" s="94" t="str">
        <x:v>文件指出目前連接不足。</x:v>
      </x:c>
      <x:c r="I20" s="102" t="str">
        <x:v>第一階段</x:v>
      </x:c>
    </x:row>
    <x:row r="21" ht="58" customHeight="1">
      <x:c r="A21" s="102" t="str">
        <x:v>R17</x:v>
      </x:c>
      <x:c r="B21" s="94" t="str">
        <x:v>權限管理</x:v>
      </x:c>
      <x:c r="C21" s="94" t="str">
        <x:v>角色及資料範圍</x:v>
      </x:c>
      <x:c r="D21" s="94" t="str">
        <x:v>不同管理員可操作的功能不同。</x:v>
      </x:c>
      <x:c r="E21" s="94" t="str">
        <x:v>權限拆成模組＋操作＋資料範圍；財務申請、審核、付款可分離。</x:v>
      </x:c>
      <x:c r="F21" s="94" t="str">
        <x:v>不同角色只能看到及操作授權範圍；所有例外操作有稽核記錄。</x:v>
      </x:c>
      <x:c r="G21" s="102" t="str">
        <x:v>P0</x:v>
      </x:c>
      <x:c r="H21" s="94" t="str">
        <x:v>已有登入及基本權限；需細化到操作及資料範圍。</x:v>
      </x:c>
      <x:c r="I21" s="102" t="str">
        <x:v>第一階段</x:v>
      </x:c>
    </x:row>
    <x:row r="22" ht="58" customHeight="1">
      <x:c r="A22" s="102" t="str">
        <x:v>R18</x:v>
      </x:c>
      <x:c r="B22" s="94" t="str">
        <x:v>智慧大屏</x:v>
      </x:c>
      <x:c r="C22" s="94" t="str">
        <x:v>營運及財務總覽</x:v>
      </x:c>
      <x:c r="D22" s="94" t="str">
        <x:v>顯示地區單位、出租率、租金、押金及預備金。</x:v>
      </x:c>
      <x:c r="E22" s="94" t="str">
        <x:v>按地區／建案／日期篩選；標示資料截止時間；逾期、待確認及負數用風險色。</x:v>
      </x:c>
      <x:c r="F22" s="94" t="str">
        <x:v>可查看地區總單位、出租率、總租金、平均租金、押金、預備金及欠租。</x:v>
      </x:c>
      <x:c r="G22" s="102" t="str">
        <x:v>P1</x:v>
      </x:c>
      <x:c r="H22" s="94" t="str">
        <x:v>已有管理資料展示；需整合大屏指標。</x:v>
      </x:c>
      <x:c r="I22" s="102" t="str">
        <x:v>第四階段</x:v>
      </x:c>
    </x:row>
    <x:row r="23" ht="58" customHeight="1">
      <x:c r="A23" s="102" t="str">
        <x:v>R19</x:v>
      </x:c>
      <x:c r="B23" s="94" t="str">
        <x:v>報表及對帳</x:v>
      </x:c>
      <x:c r="C23" s="94" t="str">
        <x:v>租客、業主、押金、預備金報表</x:v>
      </x:c>
      <x:c r="D23" s="94" t="str">
        <x:v>提供各類明細報表及匯出。</x:v>
      </x:c>
      <x:c r="E23" s="94" t="str">
        <x:v>按地區、建案、房產、業主、租客及月份篩選；導出記錄條件及操作者。</x:v>
      </x:c>
      <x:c r="F23" s="94" t="str">
        <x:v>報表金額可回溯到賬單、付款及財務確認記錄。</x:v>
      </x:c>
      <x:c r="G23" s="102" t="str">
        <x:v>P1</x:v>
      </x:c>
      <x:c r="H23" s="94" t="str">
        <x:v>已有報表及導出；需補新資料主線。</x:v>
      </x:c>
      <x:c r="I23" s="102" t="str">
        <x:v>第三階段</x:v>
      </x:c>
    </x:row>
    <x:row r="24" ht="58" customHeight="1">
      <x:c r="A24" s="102" t="str">
        <x:v>R20</x:v>
      </x:c>
      <x:c r="B24" s="94" t="str">
        <x:v>財務對帳</x:v>
      </x:c>
      <x:c r="C24" s="94" t="str">
        <x:v>每月預備金人工核對</x:v>
      </x:c>
      <x:c r="D24" s="94" t="str">
        <x:v>每月總預備金與財務系統餘額比較確認。</x:v>
      </x:c>
      <x:c r="E24" s="94" t="str">
        <x:v>不要求直接連接財務系統；保存系統金額、財務金額、差異、確認人及日期。</x:v>
      </x:c>
      <x:c r="F24" s="94" t="str">
        <x:v>可查詢歷月對帳結果及未解決差異。</x:v>
      </x:c>
      <x:c r="G24" s="102" t="str">
        <x:v>P1</x:v>
      </x:c>
      <x:c r="H24" s="94" t="str">
        <x:v>已有 SQL Account 匯出基礎；需補人工對帳。</x:v>
      </x:c>
      <x:c r="I24" s="102" t="str">
        <x:v>第三階段</x:v>
      </x:c>
    </x:row>
    <x:row r="25" ht="58" customHeight="1">
      <x:c r="A25" s="102" t="str">
        <x:v>R21</x:v>
      </x:c>
      <x:c r="B25" s="94" t="str">
        <x:v>資料庫備份</x:v>
      </x:c>
      <x:c r="C25" s="94" t="str">
        <x:v>備份及恢復</x:v>
      </x:c>
      <x:c r="D25" s="94" t="str">
        <x:v>系統出問題或資料遺失時可恢復。</x:v>
      </x:c>
      <x:c r="E25" s="94" t="str">
        <x:v>定時全量／增量備份、保留策略、加密、異地保存、恢復演練及稽核。</x:v>
      </x:c>
      <x:c r="F25" s="94" t="str">
        <x:v>可查看備份成功／失敗；可在測試環境還原指定版本。</x:v>
      </x:c>
      <x:c r="G25" s="102" t="str">
        <x:v>P0</x:v>
      </x:c>
      <x:c r="H25" s="94" t="str">
        <x:v>現有文件未列完整備份閉環；需新增。</x:v>
      </x:c>
      <x:c r="I25" s="102" t="str">
        <x:v>第一階段</x:v>
      </x:c>
    </x:row>
    <x:row r="26" ht="58" customHeight="1">
      <x:c r="A26" s="102" t="str">
        <x:v>R22</x:v>
      </x:c>
      <x:c r="B26" s="94" t="str">
        <x:v>年度稅費</x:v>
      </x:c>
      <x:c r="C26" s="94" t="str">
        <x:v>每年兩次的稅費提醒</x:v>
      </x:c>
      <x:c r="D26" s="94" t="str">
        <x:v>原文提到每年繳兩次的「門派稅」。</x:v>
      </x:c>
      <x:c r="E26" s="94" t="str">
        <x:v>先確認實際稅費名稱、責任人、繳交月份及是否需要賬單／收據。</x:v>
      </x:c>
      <x:c r="F26" s="94" t="str">
        <x:v>確認後可自動生成稅費待辦及提醒。</x:v>
      </x:c>
      <x:c r="G26" s="102" t="str">
        <x:v>P1</x:v>
      </x:c>
      <x:c r="H26" s="94" t="str">
        <x:v>原文名稱不明，需業務確認。</x:v>
      </x:c>
      <x:c r="I26" s="102" t="str">
        <x:v>第四階段</x:v>
      </x:c>
    </x:row>
  </x:sheetData>
  <x:mergeCells>
    <x:mergeCell ref="A1:I1"/>
    <x:mergeCell ref="A2:I2"/>
  </x:mergeCells>
  <x:conditionalFormatting sqref="G5:G26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dataValidations count="2">
    <x:dataValidation type="list" sqref="G5:G26">
      <x:formula1>"P0,P1,P2"</x:formula1>
    </x:dataValidation>
    <x:dataValidation type="list" sqref="I5:I26">
      <x:formula1>"第一階段,第二階段,第三階段,第四階段,第五階段"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ccb61f443343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42" hidden="0" customWidth="1"/>
    <x:col min="4" max="4" width="32" hidden="0" customWidth="1"/>
  </x:cols>
  <x:sheetData>
    <x:row r="1" ht="30" customHeight="1">
      <x:c r="A1" s="103" t="str">
        <x:v>核心業務流程與狀態設計</x:v>
      </x:c>
      <x:c r="B1" s="103"/>
      <x:c r="C1" s="103"/>
      <x:c r="D1" s="103"/>
      <x:c r="E1" s="103"/>
      <x:c r="F1" s="103"/>
    </x:row>
    <x:row r="2" ht="32" customHeight="1">
      <x:c r="A2" s="80" t="str">
        <x:v>原則：賬單、付款、財務確認、憑證、押金及預備金各自保存狀態，避免用一個欄位混合不同業務含義。</x:v>
      </x:c>
      <x:c r="B2" s="80"/>
      <x:c r="C2" s="80"/>
      <x:c r="D2" s="80"/>
      <x:c r="E2" s="80"/>
      <x:c r="F2" s="80"/>
    </x:row>
    <x:row r="3">
      <x:c r="A3" s="81"/>
      <x:c r="B3" s="81"/>
      <x:c r="C3" s="81"/>
      <x:c r="D3" s="81"/>
      <x:c r="E3" s="81"/>
      <x:c r="F3" s="81"/>
    </x:row>
    <x:row r="4">
      <x:c r="A4" s="104" t="str">
        <x:v>業務主線</x:v>
      </x:c>
      <x:c r="B4" s="104" t="str">
        <x:v>建議狀態</x:v>
      </x:c>
      <x:c r="C4" s="104" t="str">
        <x:v>關鍵規則</x:v>
      </x:c>
      <x:c r="D4" s="104" t="str">
        <x:v>主要資料</x:v>
      </x:c>
      <x:c r="E4" s="81"/>
      <x:c r="F4" s="81"/>
    </x:row>
    <x:row r="5" ht="52" customHeight="1">
      <x:c r="A5" s="94" t="str">
        <x:v>租房流程</x:v>
      </x:c>
      <x:c r="B5" s="94" t="str">
        <x:v>待出租→預約→待簽約→已簽約→待入住→入住中→續租→退租結算→完成</x:v>
      </x:c>
      <x:c r="C5" s="94" t="str">
        <x:v>每一步可指定負責人、截止日及附件；狀態轉換寫入歷史。</x:v>
      </x:c>
      <x:c r="D5" s="94" t="str">
        <x:v>租客、租約、流程任務、附件、操作日誌</x:v>
      </x:c>
      <x:c r="E5" s="81"/>
      <x:c r="F5" s="81"/>
    </x:row>
    <x:row r="6" ht="52" customHeight="1">
      <x:c r="A6" s="94" t="str">
        <x:v>賬單流程</x:v>
      </x:c>
      <x:c r="B6" s="94" t="str">
        <x:v>草稿→已生成→待付款→部分付款→已付款／逾期→調整／沖銷</x:v>
      </x:c>
      <x:c r="C6" s="94" t="str">
        <x:v>用租約＋月份＋費用項目防止重複生成；賬單不可直接刪除。</x:v>
      </x:c>
      <x:c r="D6" s="94" t="str">
        <x:v>費用規則、賬單、賬單明細、付款分配</x:v>
      </x:c>
      <x:c r="E6" s="81"/>
      <x:c r="F6" s="81"/>
    </x:row>
    <x:row r="7" ht="52" customHeight="1">
      <x:c r="A7" s="94" t="str">
        <x:v>催收流程</x:v>
      </x:c>
      <x:c r="B7" s="94" t="str">
        <x:v>到期前提醒→逾期提醒→管理通知→跟進中→已解決／轉法務</x:v>
      </x:c>
      <x:c r="C7" s="94" t="str">
        <x:v>消息可配置、去重、重試；每次發送保存渠道及結果。</x:v>
      </x:c>
      <x:c r="D7" s="94" t="str">
        <x:v>催收規則、通知、發送記錄、欠租案件</x:v>
      </x:c>
      <x:c r="E7" s="81"/>
      <x:c r="F7" s="81"/>
    </x:row>
    <x:row r="8" ht="52" customHeight="1">
      <x:c r="A8" s="94" t="str">
        <x:v>財務流程</x:v>
      </x:c>
      <x:c r="B8" s="94" t="str">
        <x:v>待確認→已確認／退回→已付款／已收款→已入帳→已對帳</x:v>
      </x:c>
      <x:c r="C8" s="94" t="str">
        <x:v>錯誤以更正／沖銷處理；申請、審核及付款可分離。</x:v>
      </x:c>
      <x:c r="D8" s="94" t="str">
        <x:v>財務記錄、付款、憑證、稽核記錄</x:v>
      </x:c>
      <x:c r="E8" s="81"/>
      <x:c r="F8" s="81"/>
    </x:row>
    <x:row r="9" ht="52" customHeight="1">
      <x:c r="A9" s="94" t="str">
        <x:v>押金流程</x:v>
      </x:c>
      <x:c r="B9" s="94" t="str">
        <x:v>已收取→可用餘額→代付／扣款→返還／沒收→已結算</x:v>
      </x:c>
      <x:c r="C9" s="94" t="str">
        <x:v>押金流水不直接改寫；退租時由結算單計算返還或沒收。</x:v>
      </x:c>
      <x:c r="D9" s="94" t="str">
        <x:v>押金帳戶、押金流水、退租結算</x:v>
      </x:c>
      <x:c r="E9" s="81"/>
      <x:c r="F9" s="81"/>
    </x:row>
    <x:row r="10" ht="52" customHeight="1">
      <x:c r="A10" s="94" t="str">
        <x:v>預備金流程</x:v>
      </x:c>
      <x:c r="B10" s="94" t="str">
        <x:v>計算→待確認→已入帳→使用／負數→返還→已對帳</x:v>
      </x:c>
      <x:c r="C10" s="94" t="str">
        <x:v>同一業主／房產／月份／規則不可重複；負數可存在但須預警。</x:v>
      </x:c>
      <x:c r="D10" s="94" t="str">
        <x:v>預備金規則、帳戶、流水、對帳記錄</x:v>
      </x:c>
      <x:c r="E10" s="81"/>
      <x:c r="F10" s="8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4cc8e645b894f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24" hidden="0" customWidth="1"/>
    <x:col min="5" max="5" width="42" hidden="0" customWidth="1"/>
  </x:cols>
  <x:sheetData>
    <x:row r="1" ht="30" customHeight="1">
      <x:c r="A1" s="103" t="str">
        <x:v>角色與權限矩陣</x:v>
      </x:c>
      <x:c r="B1" s="103"/>
      <x:c r="C1" s="103"/>
      <x:c r="D1" s="103"/>
      <x:c r="E1" s="103"/>
      <x:c r="F1" s="103"/>
      <x:c r="G1" s="103"/>
      <x:c r="H1" s="103"/>
    </x:row>
    <x:row r="2" ht="32" customHeight="1">
      <x:c r="A2" s="80" t="str">
        <x:v>建議採用 RBAC（角色權限）＋資料範圍控制；財務相關操作建議採用申請、審核、付款分離原則。</x:v>
      </x:c>
      <x:c r="B2" s="80"/>
      <x:c r="C2" s="80"/>
      <x:c r="D2" s="80"/>
      <x:c r="E2" s="80"/>
      <x:c r="F2" s="80"/>
      <x:c r="G2" s="80"/>
      <x:c r="H2" s="80"/>
    </x:row>
    <x:row r="3">
      <x:c r="A3" s="81"/>
      <x:c r="B3" s="81"/>
      <x:c r="C3" s="81"/>
      <x:c r="D3" s="81"/>
      <x:c r="E3" s="81"/>
      <x:c r="F3" s="81"/>
      <x:c r="G3" s="81"/>
      <x:c r="H3" s="81"/>
    </x:row>
    <x:row r="4">
      <x:c r="A4" s="104" t="str">
        <x:v>角色</x:v>
      </x:c>
      <x:c r="B4" s="104" t="str">
        <x:v>可見模組</x:v>
      </x:c>
      <x:c r="C4" s="104" t="str">
        <x:v>可操作功能</x:v>
      </x:c>
      <x:c r="D4" s="104" t="str">
        <x:v>資料範圍</x:v>
      </x:c>
      <x:c r="E4" s="104" t="str">
        <x:v>控制原則</x:v>
      </x:c>
      <x:c r="F4" s="81"/>
      <x:c r="G4" s="81"/>
      <x:c r="H4" s="81"/>
    </x:row>
    <x:row r="5" ht="48" customHeight="1">
      <x:c r="A5" s="94" t="str">
        <x:v>系統管理員</x:v>
      </x:c>
      <x:c r="B5" s="94" t="str">
        <x:v>全部模組</x:v>
      </x:c>
      <x:c r="C5" s="94" t="str">
        <x:v>系統設定、角色權限、例外處理</x:v>
      </x:c>
      <x:c r="D5" s="94" t="str">
        <x:v>全部地區／建案／房產</x:v>
      </x:c>
      <x:c r="E5" s="94" t="str">
        <x:v>不得無理由修改財務原始記錄；例外操作必須留稽核</x:v>
      </x:c>
      <x:c r="F5" s="81"/>
      <x:c r="G5" s="81"/>
      <x:c r="H5" s="81"/>
    </x:row>
    <x:row r="6" ht="48" customHeight="1">
      <x:c r="A6" s="94" t="str">
        <x:v>租管負責人</x:v>
      </x:c>
      <x:c r="B6" s="94" t="str">
        <x:v>租客、租約、流程、催收、維修</x:v>
      </x:c>
      <x:c r="C6" s="94" t="str">
        <x:v>建立及維護業務資料、跟進欠租</x:v>
      </x:c>
      <x:c r="D6" s="94" t="str">
        <x:v>所屬地區／建案／房產</x:v>
      </x:c>
      <x:c r="E6" s="94" t="str">
        <x:v>不能審核自己提交的財務記錄</x:v>
      </x:c>
      <x:c r="F6" s="81"/>
      <x:c r="G6" s="81"/>
      <x:c r="H6" s="81"/>
    </x:row>
    <x:row r="7" ht="48" customHeight="1">
      <x:c r="A7" s="94" t="str">
        <x:v>財務審核人</x:v>
      </x:c>
      <x:c r="B7" s="94" t="str">
        <x:v>賬單、收支、財務、押金、預備金</x:v>
      </x:c>
      <x:c r="C7" s="94" t="str">
        <x:v>審核、退回、更正、對帳</x:v>
      </x:c>
      <x:c r="D7" s="94" t="str">
        <x:v>授權範圍</x:v>
      </x:c>
      <x:c r="E7" s="94" t="str">
        <x:v>更正需填原因；不得刪除原始記錄</x:v>
      </x:c>
      <x:c r="F7" s="81"/>
      <x:c r="G7" s="81"/>
      <x:c r="H7" s="81"/>
    </x:row>
    <x:row r="8" ht="48" customHeight="1">
      <x:c r="A8" s="94" t="str">
        <x:v>付款／出納</x:v>
      </x:c>
      <x:c r="B8" s="94" t="str">
        <x:v>已批准財務項目</x:v>
      </x:c>
      <x:c r="C8" s="94" t="str">
        <x:v>登記付款、收款、銀行參考及付款狀態</x:v>
      </x:c>
      <x:c r="D8" s="94" t="str">
        <x:v>授權範圍</x:v>
      </x:c>
      <x:c r="E8" s="94" t="str">
        <x:v>只能處理已批准項目</x:v>
      </x:c>
      <x:c r="F8" s="81"/>
      <x:c r="G8" s="81"/>
      <x:c r="H8" s="81"/>
    </x:row>
    <x:row r="9" ht="48" customHeight="1">
      <x:c r="A9" s="94" t="str">
        <x:v>維修管理員</x:v>
      </x:c>
      <x:c r="B9" s="94" t="str">
        <x:v>維修、支出、預備金</x:v>
      </x:c>
      <x:c r="C9" s="94" t="str">
        <x:v>建立工單、上傳憑證、更新進度</x:v>
      </x:c>
      <x:c r="D9" s="94" t="str">
        <x:v>負責房產</x:v>
      </x:c>
      <x:c r="E9" s="94" t="str">
        <x:v>餘額不足可登記，但需風險提示</x:v>
      </x:c>
      <x:c r="F9" s="81"/>
      <x:c r="G9" s="81"/>
      <x:c r="H9" s="81"/>
    </x:row>
    <x:row r="10" ht="48" customHeight="1">
      <x:c r="A10" s="94" t="str">
        <x:v>業主</x:v>
      </x:c>
      <x:c r="B10" s="94" t="str">
        <x:v>本人房產、租金、押金、預備金、報表</x:v>
      </x:c>
      <x:c r="C10" s="94" t="str">
        <x:v>查看資料、下載憑證、提交要求</x:v>
      </x:c>
      <x:c r="D10" s="94" t="str">
        <x:v>本人名下房產</x:v>
      </x:c>
      <x:c r="E10" s="94" t="str">
        <x:v>不能查看其他業主資料</x:v>
      </x:c>
      <x:c r="F10" s="81"/>
      <x:c r="G10" s="81"/>
      <x:c r="H10" s="81"/>
    </x:row>
    <x:row r="11" ht="48" customHeight="1">
      <x:c r="A11" s="94" t="str">
        <x:v>租客</x:v>
      </x:c>
      <x:c r="B11" s="94" t="str">
        <x:v>本人租約、賬單、付款、通知</x:v>
      </x:c>
      <x:c r="C11" s="94" t="str">
        <x:v>查看應付款、上傳付款憑證、查看收據</x:v>
      </x:c>
      <x:c r="D11" s="94" t="str">
        <x:v>本人租約</x:v>
      </x:c>
      <x:c r="E11" s="94" t="str">
        <x:v>不能修改正式租約核心資料</x:v>
      </x:c>
      <x:c r="F11" s="81"/>
      <x:c r="G11" s="81"/>
      <x:c r="H11" s="81"/>
    </x:row>
    <x:row r="12" ht="48" customHeight="1">
      <x:c r="A12" s="94" t="str">
        <x:v>稽核／查詢人員</x:v>
      </x:c>
      <x:c r="B12" s="94" t="str">
        <x:v>報表、財務歷史、操作日誌</x:v>
      </x:c>
      <x:c r="C12" s="94" t="str">
        <x:v>只讀查詢及匯出</x:v>
      </x:c>
      <x:c r="D12" s="94" t="str">
        <x:v>授權範圍</x:v>
      </x:c>
      <x:c r="E12" s="94" t="str">
        <x:v>不可新增、修改、付款或審核</x:v>
      </x:c>
      <x:c r="F12" s="81"/>
      <x:c r="G12" s="81"/>
      <x:c r="H12" s="81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eb657addb704c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48" hidden="0" customWidth="1"/>
  </x:cols>
  <x:sheetData>
    <x:row r="1" ht="30" customHeight="1">
      <x:c r="A1" s="103" t="str">
        <x:v>核心資料模型建議</x:v>
      </x:c>
      <x:c r="B1" s="103"/>
      <x:c r="C1" s="103"/>
      <x:c r="D1" s="103"/>
    </x:row>
    <x:row r="2" ht="32" customHeight="1">
      <x:c r="A2" s="80" t="str">
        <x:v>資料設計重點：業務主檔、賬單、財務台帳、押金、預備金、通知及稽核分離，讓每筆金額都可以追溯來源及去向。</x:v>
      </x:c>
      <x:c r="B2" s="80"/>
      <x:c r="C2" s="80"/>
      <x:c r="D2" s="80"/>
    </x:row>
    <x:row r="3">
      <x:c r="A3" s="81"/>
      <x:c r="B3" s="81"/>
      <x:c r="C3" s="81"/>
      <x:c r="D3" s="81"/>
    </x:row>
    <x:row r="4">
      <x:c r="A4" s="104" t="str">
        <x:v>資料實體／資料群</x:v>
      </x:c>
      <x:c r="B4" s="104" t="str">
        <x:v>主要內容</x:v>
      </x:c>
      <x:c r="C4" s="104" t="str">
        <x:v>用途及關聯</x:v>
      </x:c>
      <x:c r="D4" s="81"/>
    </x:row>
    <x:row r="5" ht="42" customHeight="1">
      <x:c r="A5" s="94" t="str">
        <x:v>User／Role／Permission</x:v>
      </x:c>
      <x:c r="B5" s="94" t="str">
        <x:v>使用者、角色、操作權限及資料範圍</x:v>
      </x:c>
      <x:c r="C5" s="94" t="str">
        <x:v>控制管理員可見及可操作內容</x:v>
      </x:c>
      <x:c r="D5" s="81"/>
    </x:row>
    <x:row r="6" ht="42" customHeight="1">
      <x:c r="A6" s="94" t="str">
        <x:v>Region／Project／Unit</x:v>
      </x:c>
      <x:c r="B6" s="94" t="str">
        <x:v>地區、建案、房產單位</x:v>
      </x:c>
      <x:c r="C6" s="94" t="str">
        <x:v>大屏、報表、租約及財務資料的資料範圍</x:v>
      </x:c>
      <x:c r="D6" s="81"/>
    </x:row>
    <x:row r="7" ht="42" customHeight="1">
      <x:c r="A7" s="94" t="str">
        <x:v>Owner／Tenant／CoTenant</x:v>
      </x:c>
      <x:c r="B7" s="94" t="str">
        <x:v>業主、租客及同租客</x:v>
      </x:c>
      <x:c r="C7" s="94" t="str">
        <x:v>收入、押金、通知、賬單及權限關聯</x:v>
      </x:c>
      <x:c r="D7" s="81"/>
    </x:row>
    <x:row r="8" ht="42" customHeight="1">
      <x:c r="A8" s="94" t="str">
        <x:v>Lease／Renewal</x:v>
      </x:c>
      <x:c r="B8" s="94" t="str">
        <x:v>租約、續約及版本</x:v>
      </x:c>
      <x:c r="C8" s="94" t="str">
        <x:v>租金、賬單、租房流程及退租結算</x:v>
      </x:c>
      <x:c r="D8" s="81"/>
    </x:row>
    <x:row r="9" ht="42" customHeight="1">
      <x:c r="A9" s="94" t="str">
        <x:v>FeeRule／Bill／BillLine</x:v>
      </x:c>
      <x:c r="B9" s="94" t="str">
        <x:v>費用規則、賬單及賬單明細</x:v>
      </x:c>
      <x:c r="C9" s="94" t="str">
        <x:v>租金、管理費、水電及其他應收款</x:v>
      </x:c>
      <x:c r="D9" s="81"/>
    </x:row>
    <x:row r="10" ht="42" customHeight="1">
      <x:c r="A10" s="94" t="str">
        <x:v>Payment／FinanceRecord</x:v>
      </x:c>
      <x:c r="B10" s="94" t="str">
        <x:v>付款、收款及財務確認記錄</x:v>
      </x:c>
      <x:c r="C10" s="94" t="str">
        <x:v>付款方式、審核、入帳、對帳及更正</x:v>
      </x:c>
      <x:c r="D10" s="81"/>
    </x:row>
    <x:row r="11" ht="42" customHeight="1">
      <x:c r="A11" s="94" t="str">
        <x:v>Invoice／Receipt</x:v>
      </x:c>
      <x:c r="B11" s="94" t="str">
        <x:v>發票、收據及作廢重開關係</x:v>
      </x:c>
      <x:c r="C11" s="94" t="str">
        <x:v>收款憑證生成、下載及追溯</x:v>
      </x:c>
      <x:c r="D11" s="81"/>
    </x:row>
    <x:row r="12" ht="42" customHeight="1">
      <x:c r="A12" s="94" t="str">
        <x:v>DepositAccount／DepositTxn</x:v>
      </x:c>
      <x:c r="B12" s="94" t="str">
        <x:v>押金帳戶及押金流水</x:v>
      </x:c>
      <x:c r="C12" s="94" t="str">
        <x:v>代付、扣款、返還及沒收</x:v>
      </x:c>
      <x:c r="D12" s="81"/>
    </x:row>
    <x:row r="13" ht="42" customHeight="1">
      <x:c r="A13" s="94" t="str">
        <x:v>ReserveRule／ReserveAccount／ReserveTxn</x:v>
      </x:c>
      <x:c r="B13" s="94" t="str">
        <x:v>預備金規則、帳戶及流水</x:v>
      </x:c>
      <x:c r="C13" s="94" t="str">
        <x:v>按費用計算、使用、負數、返還及對帳</x:v>
      </x:c>
      <x:c r="D13" s="81"/>
    </x:row>
    <x:row r="14" ht="42" customHeight="1">
      <x:c r="A14" s="94" t="str">
        <x:v>Maintenance／Expense</x:v>
      </x:c>
      <x:c r="B14" s="94" t="str">
        <x:v>維修工單、支出及憑證</x:v>
      </x:c>
      <x:c r="C14" s="94" t="str">
        <x:v>維修、費用、預備金扣款及財務確認</x:v>
      </x:c>
      <x:c r="D14" s="81"/>
    </x:row>
    <x:row r="15" ht="42" customHeight="1">
      <x:c r="A15" s="94" t="str">
        <x:v>NotificationRule／Delivery</x:v>
      </x:c>
      <x:c r="B15" s="94" t="str">
        <x:v>通知規則、模板、渠道及發送結果</x:v>
      </x:c>
      <x:c r="C15" s="94" t="str">
        <x:v>催收、到期、欠租及管理通知</x:v>
      </x:c>
      <x:c r="D15" s="81"/>
    </x:row>
    <x:row r="16" ht="42" customHeight="1">
      <x:c r="A16" s="94" t="str">
        <x:v>WorkflowTask／AuditLog</x:v>
      </x:c>
      <x:c r="B16" s="94" t="str">
        <x:v>流程待辦、狀態歷史及操作日誌</x:v>
      </x:c>
      <x:c r="C16" s="94" t="str">
        <x:v>責任人、截止日、狀態轉換及稽核</x:v>
      </x:c>
      <x:c r="D16" s="81"/>
    </x:row>
    <x:row r="17" ht="42" customHeight="1">
      <x:c r="A17" s="94" t="str">
        <x:v>BackupJob／RestoreLog</x:v>
      </x:c>
      <x:c r="B17" s="94" t="str">
        <x:v>備份任務、版本及恢復記錄</x:v>
      </x:c>
      <x:c r="C17" s="94" t="str">
        <x:v>資料保護、恢復測試及責任追蹤</x:v>
      </x:c>
      <x:c r="D17" s="81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f3d74e33b944e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56" hidden="0" customWidth="1"/>
    <x:col min="4" max="4" width="54" hidden="0" customWidth="1"/>
    <x:col min="5" max="5" width="14" hidden="0" customWidth="1"/>
  </x:cols>
  <x:sheetData>
    <x:row r="1" ht="30" customHeight="1">
      <x:c r="A1" s="103" t="str">
        <x:v>開發路線圖與驗收重點</x:v>
      </x:c>
      <x:c r="B1" s="103"/>
      <x:c r="C1" s="103"/>
      <x:c r="D1" s="103"/>
      <x:c r="E1" s="103"/>
      <x:c r="F1" s="103"/>
    </x:row>
    <x:row r="2" ht="32" customHeight="1">
      <x:c r="A2" s="80" t="str">
        <x:v>建議先完成金錢閉環及資料安全，再擴充發票、智慧大屏及進階報表。</x:v>
      </x:c>
      <x:c r="B2" s="80"/>
      <x:c r="C2" s="80"/>
      <x:c r="D2" s="80"/>
      <x:c r="E2" s="80"/>
      <x:c r="F2" s="80"/>
    </x:row>
    <x:row r="3">
      <x:c r="A3" s="81"/>
      <x:c r="B3" s="81"/>
      <x:c r="C3" s="81"/>
      <x:c r="D3" s="81"/>
      <x:c r="E3" s="81"/>
      <x:c r="F3" s="81"/>
    </x:row>
    <x:row r="4">
      <x:c r="A4" s="104" t="str">
        <x:v>階段</x:v>
      </x:c>
      <x:c r="B4" s="104" t="str">
        <x:v>目標</x:v>
      </x:c>
      <x:c r="C4" s="104" t="str">
        <x:v>包含功能</x:v>
      </x:c>
      <x:c r="D4" s="104" t="str">
        <x:v>階段驗收</x:v>
      </x:c>
      <x:c r="E4" s="104" t="str">
        <x:v>風險／重要度</x:v>
      </x:c>
      <x:c r="F4" s="81"/>
    </x:row>
    <x:row r="5" ht="62" customHeight="1">
      <x:c r="A5" s="94" t="str">
        <x:v>第一階段</x:v>
      </x:c>
      <x:c r="B5" s="94" t="str">
        <x:v>P0 核心閉環</x:v>
      </x:c>
      <x:c r="C5" s="94" t="str">
        <x:v>賬單生成、租金收款、逾期催收、欠租案件、財務確認、管理費財務連接、角色權限、備份恢復</x:v>
      </x:c>
      <x:c r="D5" s="94" t="str">
        <x:v>一筆租金可完成：出單→收款→確認→入帳→查詢；錯誤不刪原始資料；可恢復備份</x:v>
      </x:c>
      <x:c r="E5" s="94" t="str">
        <x:v>最高</x:v>
      </x:c>
      <x:c r="F5" s="81"/>
    </x:row>
    <x:row r="6" ht="62" customHeight="1">
      <x:c r="A6" s="94" t="str">
        <x:v>第二階段</x:v>
      </x:c>
      <x:c r="B6" s="94" t="str">
        <x:v>P0／P1 金額規則</x:v>
      </x:c>
      <x:c r="C6" s="94" t="str">
        <x:v>押金、預付租金月份分配、階梯管理費、預備金自動生成、負數預警、維修費連接</x:v>
      </x:c>
      <x:c r="D6" s="94" t="str">
        <x:v>押金、管理費、預備金均有流水及來源；不會重複月份或重複規則入帳</x:v>
      </x:c>
      <x:c r="E6" s="94" t="str">
        <x:v>高</x:v>
      </x:c>
      <x:c r="F6" s="81"/>
    </x:row>
    <x:row r="7" ht="62" customHeight="1">
      <x:c r="A7" s="94" t="str">
        <x:v>第三階段</x:v>
      </x:c>
      <x:c r="B7" s="94" t="str">
        <x:v>P1 憑證及結算</x:v>
      </x:c>
      <x:c r="C7" s="94" t="str">
        <x:v>發票／收據、退租結算、押金返還／沒收、預備金返還、報表及人工對帳</x:v>
      </x:c>
      <x:c r="D7" s="94" t="str">
        <x:v>可生成結算單及憑證；報表金額能追溯到財務主記錄</x:v>
      </x:c>
      <x:c r="E7" s="94" t="str">
        <x:v>中</x:v>
      </x:c>
      <x:c r="F7" s="81"/>
    </x:row>
    <x:row r="8" ht="62" customHeight="1">
      <x:c r="A8" s="94" t="str">
        <x:v>第四階段</x:v>
      </x:c>
      <x:c r="B8" s="94" t="str">
        <x:v>P1 管理分析</x:v>
      </x:c>
      <x:c r="C8" s="94" t="str">
        <x:v>智慧大屏、區域出租率、欠租風險、待確認款項、年度稅費提醒</x:v>
      </x:c>
      <x:c r="D8" s="94" t="str">
        <x:v>按地區／建案篩選，指標標示資料時間及風險狀態</x:v>
      </x:c>
      <x:c r="E8" s="94" t="str">
        <x:v>中</x:v>
      </x:c>
      <x:c r="F8" s="81"/>
    </x:row>
    <x:row r="9" ht="62" customHeight="1">
      <x:c r="A9" s="94" t="str">
        <x:v>第五階段</x:v>
      </x:c>
      <x:c r="B9" s="94" t="str">
        <x:v>P2 優化</x:v>
      </x:c>
      <x:c r="C9" s="94" t="str">
        <x:v>自動報表派送、更多通知渠道、進階對帳、恢復演練自動化</x:v>
      </x:c>
      <x:c r="D9" s="94" t="str">
        <x:v>排程、派送、失敗重試及操作記錄完整</x:v>
      </x:c>
      <x:c r="E9" s="94" t="str">
        <x:v>低</x:v>
      </x:c>
      <x:c r="F9" s="8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f6ed0e0e9a949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52" hidden="0" customWidth="1"/>
    <x:col min="5" max="5" width="18" hidden="0" customWidth="1"/>
  </x:cols>
  <x:sheetData>
    <x:row r="1" ht="30" customHeight="1">
      <x:c r="A1" s="103" t="str">
        <x:v>待確認事項與建議預設</x:v>
      </x:c>
      <x:c r="B1" s="103"/>
      <x:c r="C1" s="103"/>
      <x:c r="D1" s="103"/>
      <x:c r="E1" s="103"/>
      <x:c r="F1" s="103"/>
    </x:row>
    <x:row r="2" ht="32" customHeight="1">
      <x:c r="A2" s="80" t="str">
        <x:v>以下問題不影響先做需求架構，但會影響計費、稅務及付款流程的最終規則，建議在開發前由業務確認。</x:v>
      </x:c>
      <x:c r="B2" s="80"/>
      <x:c r="C2" s="80"/>
      <x:c r="D2" s="80"/>
      <x:c r="E2" s="80"/>
      <x:c r="F2" s="80"/>
    </x:row>
    <x:row r="3">
      <x:c r="A3" s="81"/>
      <x:c r="B3" s="81"/>
      <x:c r="C3" s="81"/>
      <x:c r="D3" s="81"/>
      <x:c r="E3" s="81"/>
      <x:c r="F3" s="81"/>
    </x:row>
    <x:row r="4">
      <x:c r="A4" s="104" t="str">
        <x:v>編號</x:v>
      </x:c>
      <x:c r="B4" s="104" t="str">
        <x:v>確認主題</x:v>
      </x:c>
      <x:c r="C4" s="104" t="str">
        <x:v>需確認問題</x:v>
      </x:c>
      <x:c r="D4" s="104" t="str">
        <x:v>建議預設</x:v>
      </x:c>
      <x:c r="E4" s="104" t="str">
        <x:v>確認人</x:v>
      </x:c>
      <x:c r="F4" s="81"/>
    </x:row>
    <x:row r="5" ht="54" customHeight="1">
      <x:c r="A5" s="94" t="str">
        <x:v>Q01</x:v>
      </x:c>
      <x:c r="B5" s="94" t="str">
        <x:v>管理費檔位依據</x:v>
      </x:c>
      <x:c r="C5" s="94" t="str">
        <x:v>按租金金額、房產數量、服務級別或其他方式計算？</x:v>
      </x:c>
      <x:c r="D5" s="94" t="str">
        <x:v>先按租金金額設計檔位規則，並保留固定金額／比例兩種方式。</x:v>
      </x:c>
      <x:c r="E5" s="94" t="str">
        <x:v>業務／財務</x:v>
      </x:c>
      <x:c r="F5" s="81"/>
    </x:row>
    <x:row r="6" ht="54" customHeight="1">
      <x:c r="A6" s="94" t="str">
        <x:v>Q02</x:v>
      </x:c>
      <x:c r="B6" s="94" t="str">
        <x:v>發票／收據時點</x:v>
      </x:c>
      <x:c r="C6" s="94" t="str">
        <x:v>在租客付款後生成，還是在財務確認後生成？</x:v>
      </x:c>
      <x:c r="D6" s="94" t="str">
        <x:v>建議財務確認後生成，避免未確認款項先產生正式憑證。</x:v>
      </x:c>
      <x:c r="E6" s="94" t="str">
        <x:v>財務</x:v>
      </x:c>
      <x:c r="F6" s="81"/>
    </x:row>
    <x:row r="7" ht="54" customHeight="1">
      <x:c r="A7" s="94" t="str">
        <x:v>Q03</x:v>
      </x:c>
      <x:c r="B7" s="94" t="str">
        <x:v>預備金計算基礎</x:v>
      </x:c>
      <x:c r="C7" s="94" t="str">
        <x:v>根據管理費、維修費、租金比例或固定金額生成？</x:v>
      </x:c>
      <x:c r="D7" s="94" t="str">
        <x:v>按費用規則配置固定金額或比例，並保存規則版本。</x:v>
      </x:c>
      <x:c r="E7" s="94" t="str">
        <x:v>業務／財務</x:v>
      </x:c>
      <x:c r="F7" s="81"/>
    </x:row>
    <x:row r="8" ht="54" customHeight="1">
      <x:c r="A8" s="94" t="str">
        <x:v>Q04</x:v>
      </x:c>
      <x:c r="B8" s="94" t="str">
        <x:v>預備金負數</x:v>
      </x:c>
      <x:c r="C8" s="94" t="str">
        <x:v>負數是否需要額外審批或通知業主？</x:v>
      </x:c>
      <x:c r="D8" s="94" t="str">
        <x:v>允許負數入帳，但超過門檻需管理員審批及通知。</x:v>
      </x:c>
      <x:c r="E8" s="94" t="str">
        <x:v>業務</x:v>
      </x:c>
      <x:c r="F8" s="81"/>
    </x:row>
    <x:row r="9" ht="54" customHeight="1">
      <x:c r="A9" s="94" t="str">
        <x:v>Q05</x:v>
      </x:c>
      <x:c r="B9" s="94" t="str">
        <x:v>催收渠道</x:v>
      </x:c>
      <x:c r="C9" s="94" t="str">
        <x:v>使用站內通知、Email、WhatsApp、微信或短信？</x:v>
      </x:c>
      <x:c r="D9" s="94" t="str">
        <x:v>先支援站內通知及 Email，其他渠道預留接口。</x:v>
      </x:c>
      <x:c r="E9" s="94" t="str">
        <x:v>營運</x:v>
      </x:c>
      <x:c r="F9" s="81"/>
    </x:row>
    <x:row r="10" ht="54" customHeight="1">
      <x:c r="A10" s="94" t="str">
        <x:v>Q06</x:v>
      </x:c>
      <x:c r="B10" s="94" t="str">
        <x:v>財務更正方式</x:v>
      </x:c>
      <x:c r="C10" s="94" t="str">
        <x:v>錯誤確認是回退、沖銷還是建立調整單？</x:v>
      </x:c>
      <x:c r="D10" s="94" t="str">
        <x:v>原始記錄不可刪；以調整／沖銷單保留完整關聯。</x:v>
      </x:c>
      <x:c r="E10" s="94" t="str">
        <x:v>財務</x:v>
      </x:c>
      <x:c r="F10" s="81"/>
    </x:row>
    <x:row r="11" ht="54" customHeight="1">
      <x:c r="A11" s="94" t="str">
        <x:v>Q07</x:v>
      </x:c>
      <x:c r="B11" s="94" t="str">
        <x:v>年度稅費名稱</x:v>
      </x:c>
      <x:c r="C11" s="94" t="str">
        <x:v>原文『門派稅』實際是門牌稅、房產稅或其他稅費？</x:v>
      </x:c>
      <x:c r="D11" s="94" t="str">
        <x:v>先建立可配置年度費用，待確認名稱及月份後啟用。</x:v>
      </x:c>
      <x:c r="E11" s="94" t="str">
        <x:v>業務／財務</x:v>
      </x:c>
      <x:c r="F11" s="81"/>
    </x:row>
    <x:row r="12" ht="54" customHeight="1">
      <x:c r="A12" s="94" t="str">
        <x:v>Q08</x:v>
      </x:c>
      <x:c r="B12" s="94" t="str">
        <x:v>備份恢復責任</x:v>
      </x:c>
      <x:c r="C12" s="94" t="str">
        <x:v>誰可啟動恢復？恢復到原系統還是測試系統？</x:v>
      </x:c>
      <x:c r="D12" s="94" t="str">
        <x:v>限制系統管理員操作，先恢復到測試環境驗證。</x:v>
      </x:c>
      <x:c r="E12" s="94" t="str">
        <x:v>系統管理</x:v>
      </x:c>
      <x:c r="F12" s="81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51fe95acb5945db"/>
  </x:tableParts>
</x:worksheet>
</file>